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sing" sheetId="1" state="visible" r:id="rId3"/>
    <sheet name="VFP Correlation Plotting Points" sheetId="2" state="visible" r:id="rId4"/>
    <sheet name="Chok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<sst xmlns="http://schemas.openxmlformats.org/spreadsheetml/2006/main" count="154" uniqueCount="79">
  <si>
    <t xml:space="preserve">Name</t>
  </si>
  <si>
    <t xml:space="preserve">Top, m</t>
  </si>
  <si>
    <t xml:space="preserve">Bottom , m</t>
  </si>
  <si>
    <t xml:space="preserve">Inside Diameter, m</t>
  </si>
  <si>
    <t xml:space="preserve">Outside Diameter, m</t>
  </si>
  <si>
    <t xml:space="preserve">Inside Roughness, m</t>
  </si>
  <si>
    <t xml:space="preserve">Open Hole</t>
  </si>
  <si>
    <t xml:space="preserve">Liner</t>
  </si>
  <si>
    <t xml:space="preserve">Wall Thermal Capacity, kJ/m3/K</t>
  </si>
  <si>
    <t xml:space="preserve">Wall Thermal Conductivity, kJ/m/day/K</t>
  </si>
  <si>
    <t xml:space="preserve">Wellbore Diameter, m</t>
  </si>
  <si>
    <t xml:space="preserve">Cement Thermal Conductivity, kJ/m/day/K</t>
  </si>
  <si>
    <t xml:space="preserve">name</t>
  </si>
  <si>
    <t xml:space="preserve">top_depth</t>
  </si>
  <si>
    <t xml:space="preserve">bottom_depth</t>
  </si>
  <si>
    <t xml:space="preserve">diameter_in</t>
  </si>
  <si>
    <t xml:space="preserve">diameter_out</t>
  </si>
  <si>
    <t xml:space="preserve">roughness_in</t>
  </si>
  <si>
    <t xml:space="preserve">openhole</t>
  </si>
  <si>
    <t xml:space="preserve">liner</t>
  </si>
  <si>
    <t xml:space="preserve">wall_thermal_capacity</t>
  </si>
  <si>
    <t xml:space="preserve">wall_thermal_conductivity</t>
  </si>
  <si>
    <t xml:space="preserve">wellbore_diameter</t>
  </si>
  <si>
    <t xml:space="preserve">cement_thermal_conductivity</t>
  </si>
  <si>
    <t xml:space="preserve">Casing 1</t>
  </si>
  <si>
    <t xml:space="preserve">Casing 2</t>
  </si>
  <si>
    <t xml:space="preserve">THP</t>
  </si>
  <si>
    <t xml:space="preserve">FLO</t>
  </si>
  <si>
    <t xml:space="preserve">WFR</t>
  </si>
  <si>
    <t xml:space="preserve">GFR</t>
  </si>
  <si>
    <t xml:space="preserve">ALQ</t>
  </si>
  <si>
    <t xml:space="preserve">thp</t>
  </si>
  <si>
    <t xml:space="preserve">flo</t>
  </si>
  <si>
    <t xml:space="preserve">wfr</t>
  </si>
  <si>
    <t xml:space="preserve">gfr</t>
  </si>
  <si>
    <t xml:space="preserve">alq</t>
  </si>
  <si>
    <t xml:space="preserve">Object</t>
  </si>
  <si>
    <t xml:space="preserve">TimeStep</t>
  </si>
  <si>
    <t xml:space="preserve">Status</t>
  </si>
  <si>
    <t xml:space="preserve">Control Type</t>
  </si>
  <si>
    <t xml:space="preserve">Control Value</t>
  </si>
  <si>
    <t xml:space="preserve">Inner Pipe Diameter, m</t>
  </si>
  <si>
    <t xml:space="preserve">Critical Correlation</t>
  </si>
  <si>
    <t xml:space="preserve">Subcritical Correlation</t>
  </si>
  <si>
    <t xml:space="preserve">Critical Pressure Ratio</t>
  </si>
  <si>
    <t xml:space="preserve">Discharge Coefficient</t>
  </si>
  <si>
    <t xml:space="preserve">Gas Flow Coefficient</t>
  </si>
  <si>
    <t xml:space="preserve">Liquid Flow Coefficient</t>
  </si>
  <si>
    <t xml:space="preserve">Heat Capacity Ratio</t>
  </si>
  <si>
    <t xml:space="preserve">Well Project</t>
  </si>
  <si>
    <t xml:space="preserve">VFP</t>
  </si>
  <si>
    <t xml:space="preserve">object</t>
  </si>
  <si>
    <t xml:space="preserve">time_step</t>
  </si>
  <si>
    <t xml:space="preserve">status</t>
  </si>
  <si>
    <t xml:space="preserve">choke_control_type</t>
  </si>
  <si>
    <t xml:space="preserve">choke_control_value</t>
  </si>
  <si>
    <t xml:space="preserve">pipe_diameter</t>
  </si>
  <si>
    <t xml:space="preserve">critical_corr</t>
  </si>
  <si>
    <t xml:space="preserve">subcritical_corr</t>
  </si>
  <si>
    <t xml:space="preserve">critical_pressure_ratio</t>
  </si>
  <si>
    <t xml:space="preserve">discharge_coef</t>
  </si>
  <si>
    <t xml:space="preserve">gas_flow_coef</t>
  </si>
  <si>
    <t xml:space="preserve">liquid_flow_coef</t>
  </si>
  <si>
    <t xml:space="preserve">heat_capacity_ratio</t>
  </si>
  <si>
    <t xml:space="preserve">well_project</t>
  </si>
  <si>
    <t xml:space="preserve">vfp</t>
  </si>
  <si>
    <t xml:space="preserve">Choke 1</t>
  </si>
  <si>
    <t xml:space="preserve">active</t>
  </si>
  <si>
    <t xml:space="preserve">bean_diameter</t>
  </si>
  <si>
    <t xml:space="preserve">MECHANISTIC</t>
  </si>
  <si>
    <t xml:space="preserve">"not_exists"</t>
  </si>
  <si>
    <t xml:space="preserve">""</t>
  </si>
  <si>
    <t xml:space="preserve">Choke 2</t>
  </si>
  <si>
    <t xml:space="preserve">Choke 3</t>
  </si>
  <si>
    <t xml:space="preserve">Choke 4</t>
  </si>
  <si>
    <t xml:space="preserve">Choke 5</t>
  </si>
  <si>
    <t xml:space="preserve">Choke 6</t>
  </si>
  <si>
    <t xml:space="preserve">Choke 7</t>
  </si>
  <si>
    <t xml:space="preserve">Choke 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</si>
</sst>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E+00"/>
    <numFmt numFmtId="166" formatCode="General"/>
    <numFmt numFmtId="167" formatCode="0.0"/>
    <numFmt numFmtId="168" formatCode="dd/mm/yyyy\ h: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86"/>
    <col collapsed="false" customWidth="true" hidden="false" outlineLevel="0" max="3" min="3" style="0" width="16.57"/>
    <col collapsed="false" customWidth="true" hidden="false" outlineLevel="0" max="5" min="4" style="0" width="19.43"/>
    <col collapsed="false" customWidth="true" hidden="false" outlineLevel="0" max="6" min="6" style="0" width="22.43"/>
    <col collapsed="false" customWidth="true" hidden="false" outlineLevel="0" max="7" min="7" style="0" width="20.72"/>
    <col collapsed="false" customWidth="true" hidden="false" outlineLevel="0" max="8" min="8" style="0" width="12"/>
    <col collapsed="false" customWidth="true" hidden="false" outlineLevel="0" max="9" min="9" style="0" width="24.72"/>
    <col collapsed="false" customWidth="true" hidden="false" outlineLevel="0" max="10" min="10" style="0" width="18.86"/>
    <col collapsed="false" customWidth="true" hidden="false" outlineLevel="0" max="11" min="11" style="0" width="25.71"/>
    <col collapsed="false" customWidth="true" hidden="false" outlineLevel="0" max="12" min="12" style="0" width="24.72"/>
    <col collapsed="false" customWidth="true" hidden="false" outlineLevel="0" max="13" min="13" style="0" width="14"/>
  </cols>
  <sheetData>
    <row r="1" customFormat="false" ht="50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8.3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15" hidden="false" customHeight="false" outlineLevel="0" collapsed="false">
      <c r="A3" s="3" t="s">
        <v>24</v>
      </c>
      <c r="B3" s="3" t="n">
        <v>0</v>
      </c>
      <c r="C3" s="3" t="n">
        <v>1780</v>
      </c>
      <c r="D3" s="3" t="n">
        <v>0.1158</v>
      </c>
      <c r="E3" s="3" t="n">
        <v>0.127</v>
      </c>
      <c r="F3" s="4" t="n">
        <v>2E-005</v>
      </c>
      <c r="G3" s="5" t="b">
        <f aca="false">FALSE()</f>
        <v>0</v>
      </c>
      <c r="H3" s="5" t="b">
        <f aca="false">FALSE()</f>
        <v>0</v>
      </c>
      <c r="I3" s="3" t="n">
        <v>0</v>
      </c>
      <c r="J3" s="3" t="n">
        <v>0</v>
      </c>
      <c r="K3" s="3" t="n">
        <v>0.137</v>
      </c>
      <c r="L3" s="3" t="n">
        <v>0</v>
      </c>
    </row>
    <row r="4" customFormat="false" ht="15" hidden="false" customHeight="false" outlineLevel="0" collapsed="false">
      <c r="A4" s="3" t="s">
        <v>25</v>
      </c>
      <c r="B4" s="3" t="n">
        <v>1780</v>
      </c>
      <c r="C4" s="3" t="n">
        <v>1936</v>
      </c>
      <c r="D4" s="3" t="n">
        <v>0.1158</v>
      </c>
      <c r="E4" s="3" t="n">
        <v>0.127</v>
      </c>
      <c r="F4" s="4" t="n">
        <v>2E-005</v>
      </c>
      <c r="G4" s="5" t="b">
        <f aca="false">TRUE()</f>
        <v>1</v>
      </c>
      <c r="H4" s="5" t="b">
        <f aca="false">FALSE()</f>
        <v>0</v>
      </c>
      <c r="I4" s="3" t="n">
        <v>0</v>
      </c>
      <c r="J4" s="3" t="n">
        <v>0</v>
      </c>
      <c r="K4" s="3" t="n">
        <v>0.137</v>
      </c>
      <c r="L4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5" activeCellId="0" sqref="T15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9.29"/>
    <col collapsed="false" customWidth="true" hidden="false" outlineLevel="0" max="4" min="4" style="0" width="9.57"/>
  </cols>
  <sheetData>
    <row r="1" customFormat="false" ht="16.4" hidden="false" customHeight="fals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</row>
    <row r="2" customFormat="false" ht="16.4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</row>
    <row r="3" customFormat="false" ht="15" hidden="false" customHeight="false" outlineLevel="0" collapsed="false">
      <c r="A3" s="3" t="n">
        <v>5</v>
      </c>
      <c r="B3" s="3" t="n">
        <v>1</v>
      </c>
      <c r="C3" s="3" t="n">
        <v>0</v>
      </c>
      <c r="D3" s="3" t="n">
        <v>1</v>
      </c>
      <c r="E3" s="3" t="n">
        <v>0</v>
      </c>
    </row>
    <row r="4" customFormat="false" ht="15" hidden="false" customHeight="false" outlineLevel="0" collapsed="false">
      <c r="A4" s="7" t="n">
        <v>14.5</v>
      </c>
      <c r="B4" s="7" t="n">
        <v>10</v>
      </c>
      <c r="C4" s="7" t="n">
        <v>0.1</v>
      </c>
      <c r="D4" s="7" t="n">
        <v>10</v>
      </c>
      <c r="E4" s="8"/>
    </row>
    <row r="5" customFormat="false" ht="15" hidden="false" customHeight="false" outlineLevel="0" collapsed="false">
      <c r="A5" s="7" t="n">
        <v>24</v>
      </c>
      <c r="B5" s="7" t="n">
        <v>100</v>
      </c>
      <c r="C5" s="7" t="n">
        <v>0.2</v>
      </c>
      <c r="D5" s="7" t="n">
        <v>100</v>
      </c>
      <c r="E5" s="8"/>
    </row>
    <row r="6" customFormat="false" ht="15" hidden="false" customHeight="false" outlineLevel="0" collapsed="false">
      <c r="A6" s="7" t="n">
        <v>33.5</v>
      </c>
      <c r="B6" s="8"/>
      <c r="C6" s="7" t="n">
        <v>0.3</v>
      </c>
      <c r="D6" s="7" t="n">
        <v>1000</v>
      </c>
      <c r="E6" s="8"/>
    </row>
    <row r="7" customFormat="false" ht="15" hidden="false" customHeight="false" outlineLevel="0" collapsed="false">
      <c r="A7" s="7" t="n">
        <v>43</v>
      </c>
      <c r="B7" s="8"/>
      <c r="C7" s="7" t="n">
        <v>0.4</v>
      </c>
      <c r="D7" s="7" t="n">
        <v>10000</v>
      </c>
      <c r="E7" s="8"/>
    </row>
    <row r="8" customFormat="false" ht="15" hidden="false" customHeight="false" outlineLevel="0" collapsed="false">
      <c r="A8" s="7" t="n">
        <v>52.5</v>
      </c>
      <c r="B8" s="8"/>
      <c r="C8" s="7" t="n">
        <v>0.5</v>
      </c>
      <c r="D8" s="8"/>
      <c r="E8" s="8"/>
    </row>
    <row r="9" customFormat="false" ht="15" hidden="false" customHeight="false" outlineLevel="0" collapsed="false">
      <c r="A9" s="7" t="n">
        <v>62</v>
      </c>
      <c r="B9" s="8"/>
      <c r="C9" s="7" t="n">
        <v>0.6</v>
      </c>
      <c r="D9" s="8"/>
      <c r="E9" s="8"/>
    </row>
    <row r="10" customFormat="false" ht="15" hidden="false" customHeight="false" outlineLevel="0" collapsed="false">
      <c r="A10" s="7" t="n">
        <v>71.5</v>
      </c>
      <c r="B10" s="8"/>
      <c r="C10" s="7" t="n">
        <v>0.7</v>
      </c>
      <c r="D10" s="8"/>
      <c r="E10" s="8"/>
    </row>
    <row r="11" customFormat="false" ht="15" hidden="false" customHeight="false" outlineLevel="0" collapsed="false">
      <c r="A11" s="7" t="n">
        <v>81</v>
      </c>
      <c r="B11" s="8"/>
      <c r="C11" s="7" t="n">
        <v>0.8</v>
      </c>
      <c r="D11" s="8"/>
      <c r="E11" s="8"/>
    </row>
    <row r="12" customFormat="false" ht="15" hidden="false" customHeight="false" outlineLevel="0" collapsed="false">
      <c r="A12" s="7" t="n">
        <v>90.5</v>
      </c>
      <c r="B12" s="8"/>
      <c r="C12" s="8"/>
      <c r="D12" s="8"/>
      <c r="E12" s="8"/>
    </row>
    <row r="13" customFormat="false" ht="15" hidden="false" customHeight="false" outlineLevel="0" collapsed="false">
      <c r="A13" s="7" t="n">
        <v>100</v>
      </c>
      <c r="B13" s="8"/>
      <c r="C13" s="8"/>
      <c r="D13" s="8"/>
      <c r="E1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7.89"/>
    <col collapsed="false" customWidth="true" hidden="false" outlineLevel="0" max="3" min="3" style="0" width="15.28"/>
    <col collapsed="false" customWidth="true" hidden="false" outlineLevel="0" max="4" min="4" style="0" width="18.71"/>
    <col collapsed="false" customWidth="true" hidden="false" outlineLevel="0" max="5" min="5" style="0" width="14.43"/>
    <col collapsed="false" customWidth="true" hidden="false" outlineLevel="0" max="6" min="6" style="0" width="16.29"/>
    <col collapsed="false" customWidth="true" hidden="false" outlineLevel="0" max="7" min="7" style="0" width="18.71"/>
    <col collapsed="false" customWidth="true" hidden="false" outlineLevel="0" max="8" min="8" style="0" width="26"/>
    <col collapsed="false" customWidth="true" hidden="false" outlineLevel="0" max="9" min="9" style="0" width="17.71"/>
    <col collapsed="false" customWidth="true" hidden="false" outlineLevel="0" max="10" min="10" style="0" width="17.14"/>
    <col collapsed="false" customWidth="true" hidden="false" outlineLevel="0" max="11" min="11" style="0" width="17.29"/>
    <col collapsed="false" customWidth="true" hidden="false" outlineLevel="0" max="12" min="12" style="0" width="17.14"/>
    <col collapsed="false" customWidth="true" hidden="false" outlineLevel="0" max="13" min="13" style="0" width="13"/>
  </cols>
  <sheetData>
    <row r="1" customFormat="false" ht="50.7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</row>
    <row r="2" customFormat="false" ht="28.35" hidden="false" customHeight="false" outlineLevel="0" collapsed="false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</row>
    <row r="3" customFormat="false" ht="15" hidden="false" customHeight="false" outlineLevel="0" collapsed="false">
      <c r="A3" s="9" t="s">
        <v>66</v>
      </c>
      <c r="B3" s="10" t="n">
        <v>45365</v>
      </c>
      <c r="C3" s="9" t="s">
        <v>67</v>
      </c>
      <c r="D3" s="9" t="s">
        <v>68</v>
      </c>
      <c r="E3" s="9" t="n">
        <v>0.04</v>
      </c>
      <c r="F3" s="9" t="n">
        <v>0.2</v>
      </c>
      <c r="G3" s="9" t="s">
        <v>69</v>
      </c>
      <c r="H3" s="9" t="s">
        <v>69</v>
      </c>
      <c r="I3" s="9" t="s">
        <v>70</v>
      </c>
      <c r="J3" s="9" t="n">
        <v>0.8</v>
      </c>
      <c r="K3" s="9" t="s">
        <v>70</v>
      </c>
      <c r="L3" s="9" t="s">
        <v>70</v>
      </c>
      <c r="M3" s="9" t="s">
        <v>70</v>
      </c>
      <c r="N3" s="9" t="s">
        <v>71</v>
      </c>
      <c r="O3" s="9" t="s">
        <v>71</v>
      </c>
    </row>
    <row r="4" customFormat="false" ht="15" hidden="false" customHeight="false" outlineLevel="0" collapsed="false">
      <c r="A4" s="9" t="s">
        <v>72</v>
      </c>
      <c r="B4" s="10" t="n">
        <v>45365</v>
      </c>
      <c r="C4" s="9" t="s">
        <v>67</v>
      </c>
      <c r="D4" s="9" t="s">
        <v>68</v>
      </c>
      <c r="E4" s="9" t="n">
        <v>0.04</v>
      </c>
      <c r="F4" s="9" t="n">
        <v>0.2</v>
      </c>
      <c r="G4" s="9" t="s">
        <v>69</v>
      </c>
      <c r="H4" s="9" t="s">
        <v>69</v>
      </c>
      <c r="I4" s="9" t="s">
        <v>70</v>
      </c>
      <c r="J4" s="9" t="n">
        <v>0.8</v>
      </c>
      <c r="K4" s="9" t="s">
        <v>70</v>
      </c>
      <c r="L4" s="9" t="s">
        <v>70</v>
      </c>
      <c r="M4" s="9" t="s">
        <v>70</v>
      </c>
      <c r="N4" s="9" t="s">
        <v>71</v>
      </c>
      <c r="O4" s="9" t="s">
        <v>71</v>
      </c>
    </row>
    <row r="5" customFormat="false" ht="15" hidden="false" customHeight="false" outlineLevel="0" collapsed="false">
      <c r="A5" s="9" t="s">
        <v>73</v>
      </c>
      <c r="B5" s="10" t="n">
        <v>45365</v>
      </c>
      <c r="C5" s="9" t="s">
        <v>67</v>
      </c>
      <c r="D5" s="9" t="s">
        <v>68</v>
      </c>
      <c r="E5" s="9" t="n">
        <v>0.04</v>
      </c>
      <c r="F5" s="9" t="n">
        <v>0.2</v>
      </c>
      <c r="G5" s="9" t="s">
        <v>69</v>
      </c>
      <c r="H5" s="9" t="s">
        <v>69</v>
      </c>
      <c r="I5" s="9" t="s">
        <v>70</v>
      </c>
      <c r="J5" s="9" t="n">
        <v>0.8</v>
      </c>
      <c r="K5" s="9" t="s">
        <v>70</v>
      </c>
      <c r="L5" s="9" t="s">
        <v>70</v>
      </c>
      <c r="M5" s="9" t="s">
        <v>70</v>
      </c>
      <c r="N5" s="9" t="s">
        <v>71</v>
      </c>
      <c r="O5" s="9" t="s">
        <v>71</v>
      </c>
    </row>
    <row r="6" customFormat="false" ht="15" hidden="false" customHeight="false" outlineLevel="0" collapsed="false">
      <c r="A6" s="9" t="s">
        <v>74</v>
      </c>
      <c r="B6" s="10" t="n">
        <v>45365</v>
      </c>
      <c r="C6" s="9" t="s">
        <v>67</v>
      </c>
      <c r="D6" s="9" t="s">
        <v>68</v>
      </c>
      <c r="E6" s="9" t="n">
        <v>0.04</v>
      </c>
      <c r="F6" s="9" t="n">
        <v>0.2</v>
      </c>
      <c r="G6" s="9" t="s">
        <v>69</v>
      </c>
      <c r="H6" s="9" t="s">
        <v>69</v>
      </c>
      <c r="I6" s="9" t="s">
        <v>70</v>
      </c>
      <c r="J6" s="9" t="n">
        <v>0.8</v>
      </c>
      <c r="K6" s="9" t="s">
        <v>70</v>
      </c>
      <c r="L6" s="9" t="s">
        <v>70</v>
      </c>
      <c r="M6" s="9" t="s">
        <v>70</v>
      </c>
      <c r="N6" s="9" t="s">
        <v>71</v>
      </c>
      <c r="O6" s="9" t="s">
        <v>71</v>
      </c>
    </row>
    <row r="7" customFormat="false" ht="15" hidden="false" customHeight="false" outlineLevel="0" collapsed="false">
      <c r="A7" s="9" t="s">
        <v>75</v>
      </c>
      <c r="B7" s="10" t="n">
        <v>45365</v>
      </c>
      <c r="C7" s="9" t="s">
        <v>67</v>
      </c>
      <c r="D7" s="9" t="s">
        <v>68</v>
      </c>
      <c r="E7" s="9" t="n">
        <v>0.04</v>
      </c>
      <c r="F7" s="9" t="n">
        <v>0.2</v>
      </c>
      <c r="G7" s="9" t="s">
        <v>69</v>
      </c>
      <c r="H7" s="9" t="s">
        <v>69</v>
      </c>
      <c r="I7" s="9" t="s">
        <v>70</v>
      </c>
      <c r="J7" s="9" t="n">
        <v>0.8</v>
      </c>
      <c r="K7" s="9" t="s">
        <v>70</v>
      </c>
      <c r="L7" s="9" t="s">
        <v>70</v>
      </c>
      <c r="M7" s="9" t="s">
        <v>70</v>
      </c>
      <c r="N7" s="9" t="s">
        <v>71</v>
      </c>
      <c r="O7" s="9" t="s">
        <v>71</v>
      </c>
    </row>
    <row r="8" customFormat="false" ht="15" hidden="false" customHeight="false" outlineLevel="0" collapsed="false">
      <c r="A8" s="9" t="s">
        <v>76</v>
      </c>
      <c r="B8" s="10" t="n">
        <v>45365</v>
      </c>
      <c r="C8" s="9" t="s">
        <v>67</v>
      </c>
      <c r="D8" s="9" t="s">
        <v>68</v>
      </c>
      <c r="E8" s="9" t="n">
        <v>0.04</v>
      </c>
      <c r="F8" s="9" t="n">
        <v>0.2</v>
      </c>
      <c r="G8" s="9" t="s">
        <v>69</v>
      </c>
      <c r="H8" s="9" t="s">
        <v>69</v>
      </c>
      <c r="I8" s="9" t="s">
        <v>70</v>
      </c>
      <c r="J8" s="9" t="n">
        <v>0.8</v>
      </c>
      <c r="K8" s="9" t="s">
        <v>70</v>
      </c>
      <c r="L8" s="9" t="s">
        <v>70</v>
      </c>
      <c r="M8" s="9" t="s">
        <v>70</v>
      </c>
      <c r="N8" s="9" t="s">
        <v>71</v>
      </c>
      <c r="O8" s="9" t="s">
        <v>71</v>
      </c>
    </row>
    <row r="9" customFormat="false" ht="15" hidden="false" customHeight="false" outlineLevel="0" collapsed="false">
      <c r="A9" s="9" t="s">
        <v>77</v>
      </c>
      <c r="B9" s="10" t="n">
        <v>45365</v>
      </c>
      <c r="C9" s="9" t="s">
        <v>67</v>
      </c>
      <c r="D9" s="9" t="s">
        <v>68</v>
      </c>
      <c r="E9" s="9" t="n">
        <v>0.04</v>
      </c>
      <c r="F9" s="9" t="n">
        <v>0.2</v>
      </c>
      <c r="G9" s="9" t="s">
        <v>69</v>
      </c>
      <c r="H9" s="9" t="s">
        <v>69</v>
      </c>
      <c r="I9" s="9" t="s">
        <v>70</v>
      </c>
      <c r="J9" s="9" t="n">
        <v>0.8</v>
      </c>
      <c r="K9" s="9" t="s">
        <v>70</v>
      </c>
      <c r="L9" s="9" t="s">
        <v>70</v>
      </c>
      <c r="M9" s="9" t="s">
        <v>70</v>
      </c>
      <c r="N9" s="9" t="s">
        <v>71</v>
      </c>
      <c r="O9" s="9" t="s">
        <v>71</v>
      </c>
    </row>
    <row r="10" customFormat="false" ht="15" hidden="false" customHeight="false" outlineLevel="0" collapsed="false">
      <c r="A10" s="9" t="s">
        <v>78</v>
      </c>
      <c r="B10" s="10" t="n">
        <v>45365</v>
      </c>
      <c r="C10" s="9" t="s">
        <v>67</v>
      </c>
      <c r="D10" s="9" t="s">
        <v>68</v>
      </c>
      <c r="E10" s="9" t="n">
        <v>0.04</v>
      </c>
      <c r="F10" s="9" t="n">
        <v>0.2</v>
      </c>
      <c r="G10" s="9" t="s">
        <v>69</v>
      </c>
      <c r="H10" s="9" t="s">
        <v>69</v>
      </c>
      <c r="I10" s="9" t="s">
        <v>70</v>
      </c>
      <c r="J10" s="9" t="n">
        <v>0.8</v>
      </c>
      <c r="K10" s="9" t="s">
        <v>70</v>
      </c>
      <c r="L10" s="9" t="s">
        <v>70</v>
      </c>
      <c r="M10" s="9" t="s">
        <v>70</v>
      </c>
      <c r="N10" s="9" t="s">
        <v>71</v>
      </c>
      <c r="O10" s="9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2024-11-26T18:57:28Z</dcterms:created>
  <dc:creator>Alexey Kuzmichev</dc:creator>
  <dc:description/>
  <dc:language>ru-RU</dc:language>
  <cp:lastModifiedBy/>
  <dcterms:modified xsi:type="dcterms:W3CDTF">2025-04-11T22:19:29Z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